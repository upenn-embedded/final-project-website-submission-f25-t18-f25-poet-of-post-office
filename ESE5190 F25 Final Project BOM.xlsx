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For you!)" sheetId="1" r:id="rId4"/>
  </sheets>
  <definedNames/>
  <calcPr/>
</workbook>
</file>

<file path=xl/sharedStrings.xml><?xml version="1.0" encoding="utf-8"?>
<sst xmlns="http://schemas.openxmlformats.org/spreadsheetml/2006/main" count="68" uniqueCount="62">
  <si>
    <t>Team Number</t>
  </si>
  <si>
    <t>Team18</t>
  </si>
  <si>
    <t>Team Name</t>
  </si>
  <si>
    <t>poet-of-post-office</t>
  </si>
  <si>
    <t>Name</t>
  </si>
  <si>
    <t>Email</t>
  </si>
  <si>
    <t>GitHub Handle</t>
  </si>
  <si>
    <t>Team Member # 1</t>
  </si>
  <si>
    <t>Mutain Yuan</t>
  </si>
  <si>
    <t>yuanmu@seas.upenn.edu</t>
  </si>
  <si>
    <t>Team Member # 2</t>
  </si>
  <si>
    <t>Yu Tao</t>
  </si>
  <si>
    <t>taoyu106@seas.upenn.edu</t>
  </si>
  <si>
    <t>Team Member # 3</t>
  </si>
  <si>
    <t>Lige Tan</t>
  </si>
  <si>
    <t>ligtan@seas.upenn.edu</t>
  </si>
  <si>
    <t>Total Cost</t>
  </si>
  <si>
    <t>Row of totals</t>
  </si>
  <si>
    <t>Part Role</t>
  </si>
  <si>
    <t>Part Description</t>
  </si>
  <si>
    <t>Manufacturer</t>
  </si>
  <si>
    <t>Manufacturer part number (MPN)</t>
  </si>
  <si>
    <t>Interface to MCU</t>
  </si>
  <si>
    <t>MCU Pins Assigned</t>
  </si>
  <si>
    <t>Distributor</t>
  </si>
  <si>
    <t>Cost per device</t>
  </si>
  <si>
    <t>URL</t>
  </si>
  <si>
    <t>Comments</t>
  </si>
  <si>
    <t>Actuator (Output)</t>
  </si>
  <si>
    <t>Ring LED light</t>
  </si>
  <si>
    <t>Soldered</t>
  </si>
  <si>
    <t>GPIO</t>
  </si>
  <si>
    <t>Mouser</t>
  </si>
  <si>
    <t>https://www.mouser.com/ProductDetail/Soldered/333070?qs=QpmGXVUTftGjLYrWCYXJ7w%3D%3D</t>
  </si>
  <si>
    <t>Sensor (Input)</t>
  </si>
  <si>
    <t>Flex Sensor</t>
  </si>
  <si>
    <t>Spectra Symbol</t>
  </si>
  <si>
    <t>FS-L-055-253-ST</t>
  </si>
  <si>
    <t>ADC</t>
  </si>
  <si>
    <t>https://www.mouser.com/ProductDetail/Spectra-Symbol/FS-L-055-253-ST?qs=3Rah4i%252BhyCELk%2FvX8mTHSw%3D%3D</t>
  </si>
  <si>
    <t>Board Mount Motion &amp; Position Sensors Flex Sensor</t>
  </si>
  <si>
    <t>Heart Rate Sensor</t>
  </si>
  <si>
    <t>Analog Devices / Maxim Integrated</t>
  </si>
  <si>
    <t>MAXREFDES117#</t>
  </si>
  <si>
    <t>I2C</t>
  </si>
  <si>
    <t>https://www.mouser.com/ProductDetail/Analog-Devices-Maxim-Integrated/MAXREFDES117?qs=L5CenAjuTY7RgAB22JU8Sw%3D%3D</t>
  </si>
  <si>
    <t>Multiple Function Sensor Development Tools Heart Rate Module</t>
  </si>
  <si>
    <t>Laser</t>
  </si>
  <si>
    <t>Adafruit Industries LLC</t>
  </si>
  <si>
    <t>DigiKey</t>
  </si>
  <si>
    <t>https://www.digikey.com/en/products/detail/adafruit-industries-llc/1054/5629439?s=N4IgTCBcDaIIwAYCsAWABAGQIIGUCiASmgCICSA8sXmgGxIIByAsmkkwOpqJMtlYgBdAL5A</t>
  </si>
  <si>
    <t xml:space="preserve">
Laser Diode 650nm 5mW 2.8V ~ 5.2V 25mA Cylinder</t>
  </si>
  <si>
    <t>Processor</t>
  </si>
  <si>
    <t>Microprocessor</t>
  </si>
  <si>
    <t>STMicroelectronics</t>
  </si>
  <si>
    <t>N/A</t>
  </si>
  <si>
    <t>https://www.amazon.com/ALMOCN-STM32F103C8T6-Development-Downloader-Programmer/dp/B0C9PKJF2T/ref=sr_1_3?crid=1HDQ2DFOWO354&amp;dib=eyJ2IjoiMSJ9.dKrpJTgnBCSTBk1AnEQJppq3ri4mpSZKWqLflsQK9FpRiq9R4VHaysRTtkGfv8NxQ-qkSIgCmJw0EaP8mjJ2lByJ9qUf5iO7L72ezNytbF5wZ8mRBoCHaDSyksM7WqZUen-ViQFj0Pc485m7Vepsu2w2JOmyjTr1mIJ0GE4jOpZuMbxBt896vwM4U17vYMjBrXNmKvxpX44-z0-EUDXVLEID-U48pLXWrZZJkRV4W2c.uB3yQ0-iYxfAxgvYhUAsWLBYEW7J_xjWGZI3DHB7uBw&amp;dib_tag=se&amp;keywords=stm32f103c8t6&amp;qid=1761511502&amp;sprefix=STM32F103C8T6%2Caps%2C148&amp;sr=8-3</t>
  </si>
  <si>
    <t>Miscellaneous</t>
  </si>
  <si>
    <t>ESP32 WIFI-Module</t>
  </si>
  <si>
    <t>SPI</t>
  </si>
  <si>
    <t>Sparkfun</t>
  </si>
  <si>
    <t>https://www.sparkfun.com/sparkfun-thing-plus-esp32-s3.html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</si>
</sst>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1">
    <font>
      <sz val="11.0"/>
      <color theme="1"/>
      <name val="Calibri"/>
      <scheme val="minor"/>
    </font>
    <font>
      <b/>
      <sz val="11.0"/>
      <color theme="1"/>
      <name val="EB Garamond"/>
    </font>
    <font>
      <sz val="11.0"/>
      <color theme="1"/>
      <name val="EB Garamond"/>
    </font>
    <font>
      <color rgb="FF000000"/>
      <name val="EB Garamond"/>
    </font>
    <font>
      <color theme="1"/>
      <name val="Calibri"/>
      <scheme val="minor"/>
    </font>
    <font>
      <b/>
      <sz val="11.0"/>
      <color rgb="FFFFFFFF"/>
      <name val="EB Garamond"/>
    </font>
    <font>
      <sz val="11.0"/>
      <color rgb="FF000000"/>
      <name val="EB Garamond"/>
    </font>
    <font>
      <u/>
      <color rgb="FF0000FF"/>
    </font>
    <font>
      <u/>
      <sz val="11.0"/>
      <color rgb="FF0000FF"/>
      <name val="EB Garamond"/>
    </font>
    <font>
      <u/>
      <sz val="11.0"/>
      <color rgb="FF000000"/>
      <name val="EB Garamond"/>
    </font>
    <font>
      <u/>
      <sz val="11.0"/>
      <color theme="1"/>
      <name val="EB Garamond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164" xfId="0" applyAlignment="1" applyFont="1" applyNumberFormat="1">
      <alignment shrinkToFit="0" wrapText="1"/>
    </xf>
    <xf borderId="0" fillId="2" fontId="2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4" numFmtId="0" xfId="0" applyFont="1"/>
    <xf borderId="0" fillId="2" fontId="1" numFmtId="164" xfId="0" applyAlignment="1" applyFont="1" applyNumberFormat="1">
      <alignment readingOrder="0" shrinkToFit="0" wrapText="1"/>
    </xf>
    <xf borderId="1" fillId="3" fontId="5" numFmtId="0" xfId="0" applyAlignment="1" applyBorder="1" applyFill="1" applyFont="1">
      <alignment shrinkToFit="0" wrapText="1"/>
    </xf>
    <xf borderId="1" fillId="3" fontId="5" numFmtId="164" xfId="0" applyAlignment="1" applyBorder="1" applyFont="1" applyNumberFormat="1">
      <alignment shrinkToFit="0" wrapText="1"/>
    </xf>
    <xf borderId="1" fillId="3" fontId="5" numFmtId="0" xfId="0" applyAlignment="1" applyBorder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readingOrder="0" shrinkToFit="0" wrapText="1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ProductDetail/Soldered/333070?qs=QpmGXVUTftGjLYrWCYXJ7w%3D%3D" TargetMode="External"/><Relationship Id="rId2" Type="http://schemas.openxmlformats.org/officeDocument/2006/relationships/hyperlink" Target="https://www.mouser.com/ProductDetail/Spectra-Symbol/FS-L-055-253-ST?qs=3Rah4i%252BhyCELk%2FvX8mTHSw%3D%3D" TargetMode="External"/><Relationship Id="rId3" Type="http://schemas.openxmlformats.org/officeDocument/2006/relationships/hyperlink" Target="https://www.mouser.com/ProductDetail/Analog-Devices-Maxim-Integrated/MAXREFDES117?qs=L5CenAjuTY7RgAB22JU8Sw%3D%3D" TargetMode="External"/><Relationship Id="rId4" Type="http://schemas.openxmlformats.org/officeDocument/2006/relationships/hyperlink" Target="https://www.digikey.com/en/products/detail/adafruit-industries-llc/1054/5629439?s=N4IgTCBcDaIIwAYCsAWABAGQIIGUCiASmgCICSA8sXmgGxIIByAsmkkwOpqJMtlYgBdAL5A" TargetMode="External"/><Relationship Id="rId5" Type="http://schemas.openxmlformats.org/officeDocument/2006/relationships/hyperlink" Target="https://www.amazon.com/ALMOCN-STM32F103C8T6-Development-Downloader-Programmer/dp/B0C9PKJF2T/ref=sr_1_3?crid=1HDQ2DFOWO354&amp;dib=eyJ2IjoiMSJ9.dKrpJTgnBCSTBk1AnEQJppq3ri4mpSZKWqLflsQK9FpRiq9R4VHaysRTtkGfv8NxQ-qkSIgCmJw0EaP8mjJ2lByJ9qUf5iO7L72ezNytbF5wZ8mRBoCHaDSyksM7WqZUen-ViQFj0Pc485m7Vepsu2w2JOmyjTr1mIJ0GE4jOpZuMbxBt896vwM4U17vYMjBrXNmKvxpX44-z0-EUDXVLEID-U48pLXWrZZJkRV4W2c.uB3yQ0-iYxfAxgvYhUAsWLBYEW7J_xjWGZI3DHB7uBw&amp;dib_tag=se&amp;keywords=stm32f103c8t6&amp;qid=1761511502&amp;sprefix=STM32F103C8T6%2Caps%2C148&amp;sr=8-3" TargetMode="External"/><Relationship Id="rId6" Type="http://schemas.openxmlformats.org/officeDocument/2006/relationships/hyperlink" Target="https://www.sparkfun.com/sparkfun-thing-plus-esp32-s3.html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29"/>
    <col customWidth="1" min="2" max="2" width="32.71"/>
    <col customWidth="1" min="3" max="3" width="32.29"/>
    <col customWidth="1" min="4" max="4" width="31.57"/>
    <col customWidth="1" min="5" max="5" width="16.71"/>
    <col customWidth="1" min="6" max="6" width="26.57"/>
    <col customWidth="1" min="7" max="7" width="14.86"/>
    <col customWidth="1" min="8" max="8" width="21.43"/>
    <col customWidth="1" min="9" max="9" width="24.71"/>
    <col customWidth="1" min="10" max="10" width="31.4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3"/>
    </row>
    <row r="2">
      <c r="A2" s="1" t="s">
        <v>2</v>
      </c>
      <c r="B2" s="6" t="s">
        <v>3</v>
      </c>
      <c r="C2" s="3"/>
      <c r="D2" s="3"/>
      <c r="E2" s="3"/>
      <c r="F2" s="3"/>
      <c r="G2" s="3"/>
      <c r="H2" s="4"/>
      <c r="I2" s="5"/>
      <c r="J2" s="3"/>
    </row>
    <row r="3">
      <c r="A3" s="1"/>
      <c r="B3" s="7" t="s">
        <v>4</v>
      </c>
      <c r="C3" s="7" t="s">
        <v>5</v>
      </c>
      <c r="D3" s="7" t="s">
        <v>6</v>
      </c>
      <c r="E3" s="3"/>
      <c r="F3" s="3"/>
      <c r="G3" s="8"/>
      <c r="H3" s="4"/>
      <c r="I3" s="5"/>
      <c r="J3" s="3"/>
    </row>
    <row r="4">
      <c r="A4" s="1" t="s">
        <v>7</v>
      </c>
      <c r="B4" s="2" t="s">
        <v>8</v>
      </c>
      <c r="C4" s="2" t="s">
        <v>9</v>
      </c>
      <c r="D4" s="2"/>
      <c r="E4" s="3"/>
      <c r="F4" s="3"/>
      <c r="G4" s="3"/>
      <c r="H4" s="4"/>
      <c r="I4" s="5"/>
      <c r="J4" s="3"/>
    </row>
    <row r="5">
      <c r="A5" s="1" t="s">
        <v>10</v>
      </c>
      <c r="B5" s="2" t="s">
        <v>11</v>
      </c>
      <c r="C5" s="2" t="s">
        <v>12</v>
      </c>
      <c r="D5" s="2"/>
      <c r="E5" s="3"/>
      <c r="F5" s="3"/>
      <c r="G5" s="3"/>
      <c r="H5" s="4"/>
      <c r="I5" s="5"/>
      <c r="J5" s="3"/>
    </row>
    <row r="6">
      <c r="A6" s="7" t="s">
        <v>13</v>
      </c>
      <c r="B6" s="2" t="s">
        <v>14</v>
      </c>
      <c r="C6" s="2" t="s">
        <v>15</v>
      </c>
      <c r="D6" s="3"/>
      <c r="E6" s="3"/>
      <c r="F6" s="3"/>
      <c r="G6" s="3"/>
      <c r="H6" s="9" t="s">
        <v>16</v>
      </c>
      <c r="I6" s="5"/>
      <c r="J6" s="3"/>
    </row>
    <row r="7">
      <c r="A7" s="10" t="s">
        <v>17</v>
      </c>
      <c r="B7" s="10"/>
      <c r="C7" s="10"/>
      <c r="D7" s="10"/>
      <c r="E7" s="10"/>
      <c r="F7" s="10"/>
      <c r="G7" s="10"/>
      <c r="H7" s="11">
        <f>SUM(H9:H26)</f>
        <v>70.88</v>
      </c>
      <c r="I7" s="12"/>
      <c r="J7" s="10"/>
    </row>
    <row r="8">
      <c r="A8" s="13" t="s">
        <v>18</v>
      </c>
      <c r="B8" s="14" t="s">
        <v>19</v>
      </c>
      <c r="C8" s="13" t="s">
        <v>20</v>
      </c>
      <c r="D8" s="13" t="s">
        <v>21</v>
      </c>
      <c r="E8" s="13" t="s">
        <v>22</v>
      </c>
      <c r="F8" s="14" t="s">
        <v>23</v>
      </c>
      <c r="G8" s="13" t="s">
        <v>24</v>
      </c>
      <c r="H8" s="15" t="s">
        <v>25</v>
      </c>
      <c r="I8" s="16" t="s">
        <v>26</v>
      </c>
      <c r="J8" s="13" t="s">
        <v>27</v>
      </c>
    </row>
    <row r="9">
      <c r="A9" s="17" t="s">
        <v>28</v>
      </c>
      <c r="B9" s="17" t="s">
        <v>29</v>
      </c>
      <c r="C9" s="17" t="s">
        <v>30</v>
      </c>
      <c r="D9" s="18">
        <v>333070.0</v>
      </c>
      <c r="E9" s="17" t="s">
        <v>31</v>
      </c>
      <c r="F9" s="19"/>
      <c r="G9" s="18" t="s">
        <v>32</v>
      </c>
      <c r="H9" s="20">
        <v>4.72</v>
      </c>
      <c r="I9" s="21" t="s">
        <v>33</v>
      </c>
      <c r="J9" s="17" t="s">
        <v>29</v>
      </c>
    </row>
    <row r="10">
      <c r="A10" s="17" t="s">
        <v>34</v>
      </c>
      <c r="B10" s="17" t="s">
        <v>35</v>
      </c>
      <c r="C10" s="17" t="s">
        <v>36</v>
      </c>
      <c r="D10" s="22" t="s">
        <v>37</v>
      </c>
      <c r="E10" s="17" t="s">
        <v>38</v>
      </c>
      <c r="F10" s="17"/>
      <c r="G10" s="18" t="s">
        <v>32</v>
      </c>
      <c r="H10" s="20">
        <v>9.61</v>
      </c>
      <c r="I10" s="23" t="s">
        <v>39</v>
      </c>
      <c r="J10" s="17" t="s">
        <v>40</v>
      </c>
    </row>
    <row r="11">
      <c r="A11" s="17" t="s">
        <v>34</v>
      </c>
      <c r="B11" s="17" t="s">
        <v>41</v>
      </c>
      <c r="C11" s="17" t="s">
        <v>42</v>
      </c>
      <c r="D11" s="22" t="s">
        <v>43</v>
      </c>
      <c r="E11" s="17" t="s">
        <v>44</v>
      </c>
      <c r="F11" s="17"/>
      <c r="G11" s="18" t="s">
        <v>32</v>
      </c>
      <c r="H11" s="20">
        <v>18.86</v>
      </c>
      <c r="I11" s="23" t="s">
        <v>45</v>
      </c>
      <c r="J11" s="17" t="s">
        <v>46</v>
      </c>
    </row>
    <row r="12">
      <c r="A12" s="17" t="s">
        <v>28</v>
      </c>
      <c r="B12" s="17" t="s">
        <v>47</v>
      </c>
      <c r="C12" s="17" t="s">
        <v>48</v>
      </c>
      <c r="D12" s="18">
        <v>1054.0</v>
      </c>
      <c r="E12" s="17" t="s">
        <v>31</v>
      </c>
      <c r="F12" s="17"/>
      <c r="G12" s="18" t="s">
        <v>49</v>
      </c>
      <c r="H12" s="20">
        <v>5.95</v>
      </c>
      <c r="I12" s="23" t="s">
        <v>50</v>
      </c>
      <c r="J12" s="17" t="s">
        <v>51</v>
      </c>
    </row>
    <row r="13">
      <c r="A13" s="17" t="s">
        <v>52</v>
      </c>
      <c r="B13" s="17" t="s">
        <v>53</v>
      </c>
      <c r="C13" s="17" t="s">
        <v>54</v>
      </c>
      <c r="D13" s="19"/>
      <c r="E13" s="17" t="s">
        <v>55</v>
      </c>
      <c r="F13" s="19"/>
      <c r="G13" s="18"/>
      <c r="H13" s="20">
        <v>6.79</v>
      </c>
      <c r="I13" s="24" t="s">
        <v>56</v>
      </c>
      <c r="J13" s="19"/>
    </row>
    <row r="14">
      <c r="A14" s="17" t="s">
        <v>57</v>
      </c>
      <c r="B14" s="17" t="s">
        <v>58</v>
      </c>
      <c r="C14" s="19"/>
      <c r="D14" s="19"/>
      <c r="E14" s="17" t="s">
        <v>59</v>
      </c>
      <c r="F14" s="19"/>
      <c r="G14" s="17" t="s">
        <v>60</v>
      </c>
      <c r="H14" s="20">
        <v>24.95</v>
      </c>
      <c r="I14" s="25" t="s">
        <v>61</v>
      </c>
      <c r="J14" s="19"/>
    </row>
    <row r="15">
      <c r="A15" s="17"/>
      <c r="B15" s="17"/>
      <c r="C15" s="19"/>
      <c r="D15" s="19"/>
      <c r="E15" s="19"/>
      <c r="F15" s="19"/>
      <c r="G15" s="19"/>
      <c r="H15" s="26"/>
      <c r="I15" s="27"/>
      <c r="J15" s="19"/>
    </row>
    <row r="16">
      <c r="A16" s="19"/>
      <c r="B16" s="19"/>
      <c r="C16" s="19"/>
      <c r="D16" s="19"/>
      <c r="E16" s="19"/>
      <c r="F16" s="19"/>
      <c r="G16" s="19"/>
      <c r="H16" s="26"/>
      <c r="I16" s="27"/>
      <c r="J16" s="19"/>
    </row>
    <row r="17">
      <c r="A17" s="19"/>
      <c r="B17" s="19"/>
      <c r="C17" s="19"/>
      <c r="D17" s="19"/>
      <c r="E17" s="19"/>
      <c r="F17" s="19"/>
      <c r="G17" s="19"/>
      <c r="H17" s="26"/>
      <c r="I17" s="27"/>
      <c r="J17" s="19"/>
    </row>
    <row r="18">
      <c r="A18" s="19"/>
      <c r="B18" s="19"/>
      <c r="C18" s="19"/>
      <c r="D18" s="19"/>
      <c r="E18" s="19"/>
      <c r="F18" s="19"/>
      <c r="G18" s="19"/>
      <c r="H18" s="26"/>
      <c r="I18" s="27"/>
      <c r="J18" s="19"/>
    </row>
    <row r="19">
      <c r="A19" s="19"/>
      <c r="B19" s="19"/>
      <c r="C19" s="19"/>
      <c r="D19" s="19"/>
      <c r="E19" s="19"/>
      <c r="F19" s="19"/>
      <c r="G19" s="19"/>
      <c r="H19" s="26"/>
      <c r="I19" s="27"/>
      <c r="J19" s="19"/>
    </row>
    <row r="20">
      <c r="A20" s="19"/>
      <c r="B20" s="19"/>
      <c r="C20" s="19"/>
      <c r="D20" s="19"/>
      <c r="E20" s="19"/>
      <c r="F20" s="19"/>
      <c r="G20" s="19"/>
      <c r="H20" s="26"/>
      <c r="I20" s="27"/>
      <c r="J20" s="19"/>
    </row>
    <row r="21">
      <c r="A21" s="19"/>
      <c r="B21" s="19"/>
      <c r="C21" s="19"/>
      <c r="D21" s="19"/>
      <c r="E21" s="19"/>
      <c r="F21" s="19"/>
      <c r="G21" s="19"/>
      <c r="H21" s="26"/>
      <c r="I21" s="27"/>
      <c r="J21" s="19"/>
    </row>
    <row r="22">
      <c r="A22" s="19"/>
      <c r="B22" s="19"/>
      <c r="C22" s="19"/>
      <c r="D22" s="19"/>
      <c r="E22" s="19"/>
      <c r="F22" s="19"/>
      <c r="G22" s="19"/>
      <c r="H22" s="26"/>
      <c r="I22" s="27"/>
      <c r="J22" s="19"/>
    </row>
    <row r="23">
      <c r="A23" s="19"/>
      <c r="B23" s="19"/>
      <c r="C23" s="19"/>
      <c r="D23" s="19"/>
      <c r="E23" s="19"/>
      <c r="F23" s="19"/>
      <c r="G23" s="19"/>
      <c r="H23" s="26"/>
      <c r="I23" s="27"/>
      <c r="J23" s="19"/>
    </row>
    <row r="24">
      <c r="A24" s="19"/>
      <c r="B24" s="19"/>
      <c r="C24" s="19"/>
      <c r="D24" s="19"/>
      <c r="E24" s="19"/>
      <c r="F24" s="19"/>
      <c r="G24" s="19"/>
      <c r="H24" s="26"/>
      <c r="I24" s="27"/>
      <c r="J24" s="19"/>
    </row>
    <row r="25">
      <c r="A25" s="19"/>
      <c r="B25" s="19"/>
      <c r="C25" s="19"/>
      <c r="D25" s="19"/>
      <c r="E25" s="19"/>
      <c r="F25" s="19"/>
      <c r="G25" s="19"/>
      <c r="H25" s="26"/>
      <c r="I25" s="27"/>
      <c r="J25" s="19"/>
    </row>
    <row r="26">
      <c r="A26" s="19"/>
      <c r="B26" s="19"/>
      <c r="C26" s="19"/>
      <c r="D26" s="19"/>
      <c r="E26" s="19"/>
      <c r="F26" s="19"/>
      <c r="G26" s="19"/>
      <c r="H26" s="26"/>
      <c r="I26" s="27"/>
      <c r="J26" s="19"/>
    </row>
  </sheetData>
  <dataValidations>
    <dataValidation type="list" allowBlank="1" showErrorMessage="1" sqref="G9:G26">
      <formula1>"Adafruit,DigiKey,Mouser,Sparkfun"</formula1>
    </dataValidation>
    <dataValidation type="list" allowBlank="1" showErrorMessage="1" sqref="A9:A26">
      <formula1>"Not Selected,Sensor (Input),Actuator (Output),Miscellaneous,Processor"</formula1>
    </dataValidation>
    <dataValidation type="list" allowBlank="1" showErrorMessage="1" sqref="E9:E26">
      <formula1>"N/A,I2C,UART,SPI,GPIO,ADC,PWM"</formula1>
    </dataValidation>
  </dataValidations>
  <hyperlinks>
    <hyperlink r:id="rId1" ref="I9"/>
    <hyperlink r:id="rId2" ref="I10"/>
    <hyperlink r:id="rId3" ref="I11"/>
    <hyperlink r:id="rId4" ref="I12"/>
    <hyperlink r:id="rId5" ref="I13"/>
    <hyperlink r:id="rId6" ref="I14"/>
  </hyperlinks>
  <printOptions/>
  <pageMargins bottom="0.75" footer="0.0" header="0.0" left="0.7" right="0.7" top="0.75"/>
  <pageSetup orientation="portrait"/>
  <drawing r:id="rId7"/>
</worksheet>
</file>